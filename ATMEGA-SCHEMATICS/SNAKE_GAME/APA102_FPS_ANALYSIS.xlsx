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FB2138AB-4E8B-4C80-95DF-CB338F85BF6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PA102 FPS Calculato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F7" i="1"/>
  <c r="B20" i="1"/>
  <c r="B21" i="1" s="1"/>
  <c r="F13" i="1"/>
  <c r="F12" i="1"/>
  <c r="F11" i="1"/>
  <c r="F10" i="1"/>
  <c r="F9" i="1"/>
  <c r="F8" i="1"/>
  <c r="B16" i="1"/>
  <c r="B17" i="1" s="1"/>
  <c r="B10" i="1" l="1"/>
  <c r="B18" i="1"/>
  <c r="B19" i="1" s="1"/>
  <c r="B22" i="1" s="1"/>
  <c r="B24" i="1" s="1"/>
  <c r="B25" i="1" s="1"/>
  <c r="G13" i="1" l="1"/>
  <c r="G12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<sst xmlns="http://schemas.openxmlformats.org/spreadsheetml/2006/main" count="37" uniqueCount="34">
  <si>
    <t>APA102 Grid Max FPS Calculator (ATmega/Any MCU + SPI)</t>
  </si>
  <si>
    <t>MCU Clock F_CPU (Hz)</t>
  </si>
  <si>
    <t>SPI Prescaler</t>
  </si>
  <si>
    <t>Rows</t>
  </si>
  <si>
    <t>Start Frame Bits</t>
  </si>
  <si>
    <t>End Frame Bits Rule</t>
  </si>
  <si>
    <t>Per-Subframe SW Overhead (µs)</t>
  </si>
  <si>
    <t>Derived / Results</t>
  </si>
  <si>
    <t>LED Count N</t>
  </si>
  <si>
    <t>End Frame Bits</t>
  </si>
  <si>
    <t>Total Bits per Subframe</t>
  </si>
  <si>
    <t>Total Bits per Visual Frame</t>
  </si>
  <si>
    <t>SPI SCK (Hz)</t>
  </si>
  <si>
    <t>Bit Time (s)</t>
  </si>
  <si>
    <t>Transfer Time per Visual Frame (s)</t>
  </si>
  <si>
    <t>SW Overhead per Visual Frame (s)</t>
  </si>
  <si>
    <t>Total Frame Time (s)</t>
  </si>
  <si>
    <t>Max FPS</t>
  </si>
  <si>
    <t>32 zero bits signal start.</t>
  </si>
  <si>
    <t>Will need at least  (N/2) bits of 1s to end</t>
  </si>
  <si>
    <t>APA102 Data Field Bits</t>
  </si>
  <si>
    <t>Output</t>
  </si>
  <si>
    <t xml:space="preserve">Subframes per Visual Frame </t>
  </si>
  <si>
    <t>Prescaler Sweep</t>
  </si>
  <si>
    <t>Notes</t>
  </si>
  <si>
    <t>Divisor</t>
  </si>
  <si>
    <t>1 SPI update = 1 full visible frame.</t>
  </si>
  <si>
    <t>Extra time spent per subframe that isn’t SPI transmission (calculations, memory access time, etc).</t>
  </si>
  <si>
    <t>Input</t>
  </si>
  <si>
    <t>Value</t>
  </si>
  <si>
    <t xml:space="preserve">     &lt;0xE0+brightness&gt; &lt;blue&gt; &lt;green&gt; &lt;red&gt;</t>
  </si>
  <si>
    <t>Raw SPI transmission time for one full APA102 update.</t>
  </si>
  <si>
    <t>Columns</t>
  </si>
  <si>
    <t>Andres Nino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</si>
</sst>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b/>
      <sz val="14"/>
      <color theme="6" tint="0.59999389629810485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1"/>
      <color theme="5" tint="-0.249977111117893"/>
      <name val="Cambria"/>
      <family val="1"/>
      <scheme val="major"/>
    </font>
    <font>
      <sz val="11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1"/>
      <color theme="1"/>
      <name val="Poor Richard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 style="medium">
        <color theme="6" tint="0.59999389629810485"/>
      </left>
      <right style="medium">
        <color theme="6" tint="0.59999389629810485"/>
      </right>
      <top style="medium">
        <color theme="6" tint="0.59999389629810485"/>
      </top>
      <bottom style="medium">
        <color theme="6" tint="0.59999389629810485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medium">
        <color theme="6" tint="0.59999389629810485"/>
      </left>
      <right/>
      <top style="medium">
        <color theme="6" tint="0.59999389629810485"/>
      </top>
      <bottom style="medium">
        <color theme="6" tint="0.59999389629810485"/>
      </bottom>
      <diagonal/>
    </border>
    <border>
      <left style="thin">
        <color theme="6" tint="-0.249977111117893"/>
      </left>
      <right/>
      <top/>
      <bottom/>
      <diagonal/>
    </border>
    <border>
      <left style="thin">
        <color theme="6" tint="-0.249977111117893"/>
      </left>
      <right style="thin">
        <color theme="6" tint="-0.249977111117893"/>
      </right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6" tint="-0.249977111117893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rgb="FFBBBBBB"/>
      </right>
      <top/>
      <bottom style="thin">
        <color rgb="FFBBBBBB"/>
      </bottom>
      <diagonal/>
    </border>
    <border>
      <left style="thin">
        <color theme="9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theme="9"/>
      </left>
      <right style="thin">
        <color rgb="FFBBBBBB"/>
      </right>
      <top style="thin">
        <color rgb="FFBBBBBB"/>
      </top>
      <bottom style="thin">
        <color theme="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 style="thin">
        <color rgb="FFBBBBBB"/>
      </right>
      <top style="thin">
        <color theme="9"/>
      </top>
      <bottom style="thin">
        <color theme="9"/>
      </bottom>
      <diagonal/>
    </border>
    <border>
      <left style="thin">
        <color rgb="FFBBBBBB"/>
      </left>
      <right style="thin">
        <color rgb="FFBBBBBB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medium">
        <color theme="6" tint="0.59999389629810485"/>
      </right>
      <top style="medium">
        <color theme="6" tint="0.59999389629810485"/>
      </top>
      <bottom style="medium">
        <color theme="6" tint="0.59999389629810485"/>
      </bottom>
      <diagonal/>
    </border>
    <border>
      <left style="thin">
        <color theme="2" tint="-0.499984740745262"/>
      </left>
      <right style="thin">
        <color theme="6" tint="-0.249977111117893"/>
      </right>
      <top/>
      <bottom/>
      <diagonal/>
    </border>
    <border>
      <left style="thin">
        <color theme="2" tint="-0.499984740745262"/>
      </left>
      <right style="thin">
        <color theme="6" tint="-0.249977111117893"/>
      </right>
      <top style="thin">
        <color theme="9"/>
      </top>
      <bottom style="thin">
        <color theme="9"/>
      </bottom>
      <diagonal/>
    </border>
    <border>
      <left/>
      <right style="thin">
        <color theme="2" tint="-0.499984740745262"/>
      </right>
      <top style="thin">
        <color theme="9"/>
      </top>
      <bottom/>
      <diagonal/>
    </border>
    <border>
      <left style="thin">
        <color theme="2" tint="-0.499984740745262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rgb="FFBBBBBB"/>
      </left>
      <right style="thin">
        <color theme="2" tint="-0.499984740745262"/>
      </right>
      <top style="thin">
        <color theme="9"/>
      </top>
      <bottom style="thin">
        <color theme="9"/>
      </bottom>
      <diagonal/>
    </border>
    <border>
      <left style="thin">
        <color theme="2" tint="-0.499984740745262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BBBBBB"/>
      </left>
      <right style="thin">
        <color theme="2" tint="-0.499984740745262"/>
      </right>
      <top/>
      <bottom style="thin">
        <color rgb="FFBBBBBB"/>
      </bottom>
      <diagonal/>
    </border>
    <border>
      <left style="thin">
        <color rgb="FFBBBBBB"/>
      </left>
      <right style="thin">
        <color theme="2" tint="-0.499984740745262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theme="2" tint="-0.499984740745262"/>
      </right>
      <top style="thin">
        <color rgb="FFBBBBBB"/>
      </top>
      <bottom style="thin">
        <color theme="9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Font="1"/>
    <xf numFmtId="0" fontId="0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5" xfId="0" applyFont="1" applyFill="1" applyBorder="1" applyAlignment="1">
      <alignment wrapText="1"/>
    </xf>
    <xf numFmtId="0" fontId="1" fillId="3" borderId="3" xfId="0" applyFont="1" applyFill="1" applyBorder="1" applyAlignment="1">
      <alignment horizontal="left" wrapText="1"/>
    </xf>
    <xf numFmtId="0" fontId="2" fillId="3" borderId="8" xfId="0" applyNumberFormat="1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0" fillId="6" borderId="9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wrapText="1"/>
    </xf>
    <xf numFmtId="0" fontId="6" fillId="6" borderId="18" xfId="0" applyFont="1" applyFill="1" applyBorder="1" applyAlignment="1">
      <alignment wrapText="1"/>
    </xf>
    <xf numFmtId="0" fontId="8" fillId="3" borderId="3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0" fontId="7" fillId="5" borderId="12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7" fillId="5" borderId="13" xfId="0" applyFont="1" applyFill="1" applyBorder="1" applyAlignment="1">
      <alignment horizontal="center" wrapText="1"/>
    </xf>
    <xf numFmtId="0" fontId="7" fillId="5" borderId="14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ont="1" applyBorder="1"/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 wrapText="1"/>
    </xf>
    <xf numFmtId="0" fontId="0" fillId="0" borderId="24" xfId="0" applyBorder="1"/>
    <xf numFmtId="0" fontId="9" fillId="3" borderId="26" xfId="0" applyFont="1" applyFill="1" applyBorder="1" applyAlignment="1">
      <alignment horizontal="left" vertical="center" wrapText="1"/>
    </xf>
    <xf numFmtId="0" fontId="10" fillId="6" borderId="27" xfId="0" applyFont="1" applyFill="1" applyBorder="1" applyAlignment="1">
      <alignment horizontal="left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6" fillId="6" borderId="30" xfId="0" applyFont="1" applyFill="1" applyBorder="1" applyAlignment="1">
      <alignment wrapText="1"/>
    </xf>
    <xf numFmtId="0" fontId="9" fillId="3" borderId="31" xfId="0" applyFont="1" applyFill="1" applyBorder="1" applyAlignment="1">
      <alignment horizontal="left" vertical="center" wrapText="1"/>
    </xf>
    <xf numFmtId="1" fontId="7" fillId="5" borderId="32" xfId="0" applyNumberFormat="1" applyFont="1" applyFill="1" applyBorder="1" applyAlignment="1">
      <alignment horizontal="center" wrapText="1"/>
    </xf>
    <xf numFmtId="1" fontId="7" fillId="5" borderId="33" xfId="0" applyNumberFormat="1" applyFont="1" applyFill="1" applyBorder="1" applyAlignment="1">
      <alignment horizontal="center" wrapText="1"/>
    </xf>
    <xf numFmtId="0" fontId="0" fillId="0" borderId="23" xfId="0" applyBorder="1"/>
    <xf numFmtId="1" fontId="7" fillId="5" borderId="34" xfId="0" applyNumberFormat="1" applyFont="1" applyFill="1" applyBorder="1" applyAlignment="1">
      <alignment horizontal="center" wrapText="1"/>
    </xf>
    <xf numFmtId="0" fontId="0" fillId="0" borderId="24" xfId="0" applyFont="1" applyBorder="1"/>
    <xf numFmtId="0" fontId="0" fillId="0" borderId="35" xfId="0" applyFont="1" applyBorder="1"/>
    <xf numFmtId="0" fontId="0" fillId="0" borderId="36" xfId="0" applyFont="1" applyBorder="1"/>
    <xf numFmtId="0" fontId="0" fillId="0" borderId="36" xfId="0" applyBorder="1"/>
    <xf numFmtId="0" fontId="0" fillId="0" borderId="37" xfId="0" applyFont="1" applyBorder="1"/>
    <xf numFmtId="0" fontId="5" fillId="2" borderId="6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wrapText="1"/>
    </xf>
    <xf numFmtId="0" fontId="0" fillId="6" borderId="19" xfId="0" applyFont="1" applyFill="1" applyBorder="1" applyAlignment="1">
      <alignment horizontal="center" wrapText="1"/>
    </xf>
    <xf numFmtId="1" fontId="2" fillId="3" borderId="3" xfId="0" applyNumberFormat="1" applyFont="1" applyFill="1" applyBorder="1" applyAlignment="1">
      <alignment horizontal="center" wrapText="1"/>
    </xf>
    <xf numFmtId="0" fontId="11" fillId="0" borderId="3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X26"/>
  <sheetViews>
    <sheetView tabSelected="1" zoomScale="95" zoomScaleNormal="95" workbookViewId="0">
      <selection activeCell="J16" sqref="J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" width="29.81640625" style="1" bestFit="1" customWidth="1"/>
    <col min="2" max="2" width="22" style="1" bestFit="1" customWidth="1"/>
    <col min="3" max="3" width="43" style="1" bestFit="1" customWidth="1"/>
    <col min="4" max="4" width="15" style="1" customWidth="1"/>
    <col min="5" max="5" width="19.36328125" style="1" customWidth="1"/>
    <col min="6" max="6" width="16.6328125" style="1" customWidth="1"/>
    <col min="7" max="7" width="8.7265625" style="1" customWidth="1"/>
    <col min="8" max="16384" width="8.7265625" style="1"/>
  </cols>
  <sheetData>
    <row r="1" spans="1:102" ht="18.5" customHeight="1" x14ac:dyDescent="0.35">
      <c r="A1" s="26" t="s">
        <v>0</v>
      </c>
      <c r="B1" s="27"/>
      <c r="C1" s="27"/>
      <c r="D1" s="27"/>
      <c r="E1" s="27"/>
      <c r="F1" s="27"/>
      <c r="G1" s="28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</row>
    <row r="2" spans="1:102" ht="15" customHeight="1" thickBot="1" x14ac:dyDescent="0.4">
      <c r="A2" s="29"/>
      <c r="B2" s="23"/>
      <c r="C2" s="23"/>
      <c r="D2" s="23"/>
      <c r="E2" s="23"/>
      <c r="F2" s="23"/>
      <c r="G2" s="30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</row>
    <row r="3" spans="1:102" ht="29" customHeight="1" thickBot="1" x14ac:dyDescent="0.4">
      <c r="A3" s="31" t="s">
        <v>28</v>
      </c>
      <c r="B3" s="11" t="s">
        <v>29</v>
      </c>
      <c r="C3" s="48" t="s">
        <v>24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</row>
    <row r="4" spans="1:102" ht="18.5" x14ac:dyDescent="0.45">
      <c r="A4" s="33" t="s">
        <v>1</v>
      </c>
      <c r="B4" s="7">
        <v>20000000</v>
      </c>
      <c r="C4" s="49"/>
      <c r="D4" s="24"/>
      <c r="E4" s="24"/>
      <c r="F4" s="24"/>
      <c r="G4" s="32"/>
    </row>
    <row r="5" spans="1:102" ht="18.5" x14ac:dyDescent="0.45">
      <c r="A5" s="34" t="s">
        <v>2</v>
      </c>
      <c r="B5" s="10">
        <v>2</v>
      </c>
      <c r="C5" s="9"/>
      <c r="D5" s="50"/>
      <c r="E5" s="12" t="s">
        <v>23</v>
      </c>
      <c r="F5" s="13"/>
      <c r="G5" s="35"/>
    </row>
    <row r="6" spans="1:102" ht="18.5" x14ac:dyDescent="0.45">
      <c r="A6" s="36" t="s">
        <v>3</v>
      </c>
      <c r="B6" s="8">
        <v>14</v>
      </c>
      <c r="C6" s="5"/>
      <c r="D6" s="24"/>
      <c r="E6" s="14" t="s">
        <v>25</v>
      </c>
      <c r="F6" s="15" t="s">
        <v>12</v>
      </c>
      <c r="G6" s="37" t="s">
        <v>17</v>
      </c>
    </row>
    <row r="7" spans="1:102" ht="18.5" x14ac:dyDescent="0.45">
      <c r="A7" s="38" t="s">
        <v>32</v>
      </c>
      <c r="B7" s="3">
        <v>14</v>
      </c>
      <c r="C7" s="2"/>
      <c r="D7" s="24"/>
      <c r="E7" s="17">
        <v>2</v>
      </c>
      <c r="F7" s="18">
        <f>B4/E7</f>
        <v>10000000</v>
      </c>
      <c r="G7" s="39">
        <f>IF(B19&gt;0, F7/B19, 0)</f>
        <v>1562.0118712902217</v>
      </c>
    </row>
    <row r="8" spans="1:102" ht="18.5" x14ac:dyDescent="0.45">
      <c r="A8" s="38" t="s">
        <v>20</v>
      </c>
      <c r="B8" s="3">
        <v>32</v>
      </c>
      <c r="C8" s="16" t="s">
        <v>30</v>
      </c>
      <c r="D8" s="24"/>
      <c r="E8" s="19">
        <v>4</v>
      </c>
      <c r="F8" s="20">
        <f>B4/E8</f>
        <v>5000000</v>
      </c>
      <c r="G8" s="40">
        <f>IF(B19&gt;0, F8/B19, 0)</f>
        <v>781.00593564511087</v>
      </c>
    </row>
    <row r="9" spans="1:102" ht="18.5" x14ac:dyDescent="0.45">
      <c r="A9" s="38" t="s">
        <v>4</v>
      </c>
      <c r="B9" s="3">
        <v>32</v>
      </c>
      <c r="C9" s="16" t="s">
        <v>18</v>
      </c>
      <c r="D9" s="24"/>
      <c r="E9" s="19">
        <v>8</v>
      </c>
      <c r="F9" s="20">
        <f>B4/E9</f>
        <v>2500000</v>
      </c>
      <c r="G9" s="40">
        <f>IF(B19&gt;0, F9/B19, 0)</f>
        <v>390.50296782255543</v>
      </c>
    </row>
    <row r="10" spans="1:102" ht="18.5" x14ac:dyDescent="0.45">
      <c r="A10" s="38" t="s">
        <v>5</v>
      </c>
      <c r="B10" s="3">
        <f>MAX(32,CEILING(B16/2, 1))</f>
        <v>98</v>
      </c>
      <c r="C10" s="16" t="s">
        <v>19</v>
      </c>
      <c r="D10" s="24"/>
      <c r="E10" s="19">
        <v>16</v>
      </c>
      <c r="F10" s="20">
        <f>B4/E10</f>
        <v>1250000</v>
      </c>
      <c r="G10" s="40">
        <f>IF(B19&gt;0, F10/B19, 0)</f>
        <v>195.25148391127772</v>
      </c>
    </row>
    <row r="11" spans="1:102" ht="37" x14ac:dyDescent="0.45">
      <c r="A11" s="38" t="s">
        <v>22</v>
      </c>
      <c r="B11" s="3">
        <v>1</v>
      </c>
      <c r="C11" s="16" t="s">
        <v>26</v>
      </c>
      <c r="D11" s="24"/>
      <c r="E11" s="19">
        <v>32</v>
      </c>
      <c r="F11" s="20">
        <f>B4/E11</f>
        <v>625000</v>
      </c>
      <c r="G11" s="40">
        <f>IF(B19&gt;0, F11/B19, 0)</f>
        <v>97.625741955638858</v>
      </c>
    </row>
    <row r="12" spans="1:102" ht="37" x14ac:dyDescent="0.45">
      <c r="A12" s="38" t="s">
        <v>6</v>
      </c>
      <c r="B12" s="3">
        <v>0</v>
      </c>
      <c r="C12" s="16" t="s">
        <v>27</v>
      </c>
      <c r="D12" s="24"/>
      <c r="E12" s="19">
        <v>64</v>
      </c>
      <c r="F12" s="20">
        <f>B4/E12</f>
        <v>312500</v>
      </c>
      <c r="G12" s="40">
        <f>IF(B19&gt;0, F12/B19, 0)</f>
        <v>48.812870977819429</v>
      </c>
    </row>
    <row r="13" spans="1:102" x14ac:dyDescent="0.35">
      <c r="A13" s="41"/>
      <c r="B13" s="24"/>
      <c r="C13" s="24"/>
      <c r="D13" s="24"/>
      <c r="E13" s="21">
        <v>128</v>
      </c>
      <c r="F13" s="22">
        <f>B4/E13</f>
        <v>156250</v>
      </c>
      <c r="G13" s="42">
        <f>IF(B19&gt;0, F13/B19, 0)</f>
        <v>24.406435488909715</v>
      </c>
    </row>
    <row r="14" spans="1:102" ht="33" customHeight="1" thickBot="1" x14ac:dyDescent="0.4">
      <c r="A14" s="41"/>
      <c r="B14" s="24"/>
      <c r="C14" s="24"/>
      <c r="D14" s="24"/>
      <c r="E14" s="25"/>
      <c r="F14" s="25"/>
      <c r="G14" s="43"/>
    </row>
    <row r="15" spans="1:102" ht="18" thickBot="1" x14ac:dyDescent="0.4">
      <c r="A15" s="31" t="s">
        <v>21</v>
      </c>
      <c r="B15" s="11" t="s">
        <v>7</v>
      </c>
      <c r="C15" s="11" t="s">
        <v>24</v>
      </c>
      <c r="D15" s="24"/>
      <c r="E15" s="25"/>
      <c r="F15" s="25"/>
      <c r="G15" s="43"/>
    </row>
    <row r="16" spans="1:102" ht="18.5" x14ac:dyDescent="0.45">
      <c r="A16" s="36" t="s">
        <v>8</v>
      </c>
      <c r="B16" s="8">
        <f>B6*B7</f>
        <v>196</v>
      </c>
      <c r="C16" s="5"/>
      <c r="D16" s="24"/>
      <c r="E16" s="25"/>
      <c r="F16" s="25"/>
      <c r="G16" s="43"/>
    </row>
    <row r="17" spans="1:7" ht="18.5" x14ac:dyDescent="0.45">
      <c r="A17" s="38" t="s">
        <v>9</v>
      </c>
      <c r="B17" s="3">
        <f>MAX(32,CEILING(B16/2,1))</f>
        <v>98</v>
      </c>
      <c r="C17" s="2"/>
      <c r="D17" s="24"/>
      <c r="E17" s="25"/>
      <c r="F17" s="25"/>
      <c r="G17" s="43"/>
    </row>
    <row r="18" spans="1:7" ht="18.5" x14ac:dyDescent="0.45">
      <c r="A18" s="38" t="s">
        <v>10</v>
      </c>
      <c r="B18" s="3">
        <f>B9+(B8*B16)+B17</f>
        <v>6402</v>
      </c>
      <c r="C18" s="6"/>
      <c r="D18" s="24"/>
      <c r="E18" s="25"/>
      <c r="F18" s="25"/>
      <c r="G18" s="43"/>
    </row>
    <row r="19" spans="1:7" ht="18.5" x14ac:dyDescent="0.45">
      <c r="A19" s="38" t="s">
        <v>11</v>
      </c>
      <c r="B19" s="3">
        <f>B18*B11</f>
        <v>6402</v>
      </c>
      <c r="C19" s="4"/>
      <c r="D19" s="24"/>
      <c r="E19" s="25"/>
      <c r="F19" s="25"/>
      <c r="G19" s="43"/>
    </row>
    <row r="20" spans="1:7" ht="18.5" x14ac:dyDescent="0.45">
      <c r="A20" s="38" t="s">
        <v>12</v>
      </c>
      <c r="B20" s="3">
        <f>B4/B5</f>
        <v>10000000</v>
      </c>
      <c r="C20" s="4"/>
      <c r="D20" s="24"/>
      <c r="E20" s="25"/>
      <c r="F20" s="25"/>
      <c r="G20" s="43"/>
    </row>
    <row r="21" spans="1:7" ht="18.5" x14ac:dyDescent="0.45">
      <c r="A21" s="38" t="s">
        <v>13</v>
      </c>
      <c r="B21" s="3">
        <f>1/B20</f>
        <v>9.9999999999999995E-8</v>
      </c>
      <c r="C21" s="4"/>
      <c r="D21" s="24"/>
      <c r="E21" s="25"/>
      <c r="F21" s="25"/>
      <c r="G21" s="43"/>
    </row>
    <row r="22" spans="1:7" ht="37" x14ac:dyDescent="0.45">
      <c r="A22" s="38" t="s">
        <v>14</v>
      </c>
      <c r="B22" s="3">
        <f>B19/B20</f>
        <v>6.4019999999999995E-4</v>
      </c>
      <c r="C22" s="16" t="s">
        <v>31</v>
      </c>
      <c r="D22" s="24"/>
      <c r="E22" s="25"/>
      <c r="F22" s="25"/>
      <c r="G22" s="43"/>
    </row>
    <row r="23" spans="1:7" ht="37" x14ac:dyDescent="0.45">
      <c r="A23" s="36" t="s">
        <v>15</v>
      </c>
      <c r="B23" s="8">
        <f>(B12*B11)/1000000</f>
        <v>0</v>
      </c>
      <c r="C23" s="5"/>
      <c r="D23" s="24"/>
      <c r="E23" s="25"/>
      <c r="F23" s="25"/>
      <c r="G23" s="43"/>
    </row>
    <row r="24" spans="1:7" ht="18.5" x14ac:dyDescent="0.45">
      <c r="A24" s="38" t="s">
        <v>16</v>
      </c>
      <c r="B24" s="3">
        <f>B22+B23</f>
        <v>6.4019999999999995E-4</v>
      </c>
      <c r="C24" s="2"/>
      <c r="D24" s="24"/>
      <c r="E24" s="25"/>
      <c r="F24" s="25"/>
      <c r="G24" s="43"/>
    </row>
    <row r="25" spans="1:7" ht="18.5" x14ac:dyDescent="0.45">
      <c r="A25" s="38" t="s">
        <v>17</v>
      </c>
      <c r="B25" s="51">
        <f>IF(B24&gt;0,1/B24,0)</f>
        <v>1562.011871290222</v>
      </c>
      <c r="C25" s="6"/>
      <c r="D25" s="24"/>
      <c r="E25" s="25"/>
      <c r="F25" s="25"/>
      <c r="G25" s="43"/>
    </row>
    <row r="26" spans="1:7" x14ac:dyDescent="0.35">
      <c r="A26" s="44"/>
      <c r="B26" s="45"/>
      <c r="C26" s="45"/>
      <c r="D26" s="46"/>
      <c r="E26" s="45"/>
      <c r="F26" s="52" t="s">
        <v>33</v>
      </c>
      <c r="G26" s="47"/>
    </row>
  </sheetData>
  <mergeCells count="3">
    <mergeCell ref="A1:G2"/>
    <mergeCell ref="E5:G5"/>
    <mergeCell ref="C5:D5"/>
  </mergeCells>
  <dataValidations disablePrompts="1" count="1">
    <dataValidation type="list" allowBlank="1" showInputMessage="1" showErrorMessage="1" sqref="B5" xr:uid="{00000000-0002-0000-0000-000000000000}">
      <formula1>"2,4,8,16,32,64,128"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A2D4A06C89A40A5C39790CD3F7778" ma:contentTypeVersion="8" ma:contentTypeDescription="Create a new document." ma:contentTypeScope="" ma:versionID="d3cea7bc622e1dc4058a784e8a4abe4a">
  <xsd:schema xmlns:xsd="http://www.w3.org/2001/XMLSchema" xmlns:xs="http://www.w3.org/2001/XMLSchema" xmlns:p="http://schemas.microsoft.com/office/2006/metadata/properties" xmlns:ns3="f2f556dd-e958-426c-99b9-697f1d20f3db" xmlns:ns4="e556c6c4-7ce6-4ce4-8717-f4b1dc6d9f9e" targetNamespace="http://schemas.microsoft.com/office/2006/metadata/properties" ma:root="true" ma:fieldsID="0473b14f1e67a4f119f3439a0cf1ab9b" ns3:_="" ns4:_="">
    <xsd:import namespace="f2f556dd-e958-426c-99b9-697f1d20f3db"/>
    <xsd:import namespace="e556c6c4-7ce6-4ce4-8717-f4b1dc6d9f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556dd-e958-426c-99b9-697f1d20f3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6c6c4-7ce6-4ce4-8717-f4b1dc6d9f9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f556dd-e958-426c-99b9-697f1d20f3db" xsi:nil="true"/>
  </documentManagement>
</p:properties>
</file>

<file path=customXml/itemProps1.xml><?xml version="1.0" encoding="utf-8"?>
<ds:datastoreItem xmlns:ds="http://schemas.openxmlformats.org/officeDocument/2006/customXml" ds:itemID="{A9A0FC9B-56D2-4563-802B-7E7DFA2492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f556dd-e958-426c-99b9-697f1d20f3db"/>
    <ds:schemaRef ds:uri="e556c6c4-7ce6-4ce4-8717-f4b1dc6d9f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A4BEEA-9A73-4733-A49D-FA95B30744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9DCDB3-A4C0-4D40-B30F-390558FA7339}">
  <ds:schemaRefs>
    <ds:schemaRef ds:uri="http://www.w3.org/XML/1998/namespace"/>
    <ds:schemaRef ds:uri="f2f556dd-e958-426c-99b9-697f1d20f3db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e556c6c4-7ce6-4ce4-8717-f4b1dc6d9f9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APA102 FPS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Nino</dc:creator>
  <cp:lastModifiedBy>Andres F NinoDiaz</cp:lastModifiedBy>
  <dcterms:created xsi:type="dcterms:W3CDTF">2025-10-14T22:39:45Z</dcterms:created>
  <dcterms:modified xsi:type="dcterms:W3CDTF">2025-10-16T01:00:24Z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0x010100965A2D4A06C89A40A5C39790CD3F7778</vt:lpwstr>
  </property>
</Properties>
</file>